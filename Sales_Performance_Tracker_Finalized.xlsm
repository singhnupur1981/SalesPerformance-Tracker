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pur Singh\Downloads\"/>
    </mc:Choice>
  </mc:AlternateContent>
  <xr:revisionPtr revIDLastSave="0" documentId="13_ncr:1_{1F179206-D60D-4CED-B29D-CD5C7C7E7DB3}" xr6:coauthVersionLast="47" xr6:coauthVersionMax="47" xr10:uidLastSave="{00000000-0000-0000-0000-000000000000}"/>
  <bookViews>
    <workbookView xWindow="-108" yWindow="-108" windowWidth="23256" windowHeight="13896" tabRatio="500" xr2:uid="{00000000-000D-0000-FFFF-FFFF00000000}"/>
  </bookViews>
  <sheets>
    <sheet name="Raw Data" sheetId="1" r:id="rId1"/>
    <sheet name="Dashboard" sheetId="2" r:id="rId2"/>
    <sheet name="Sales Alert Email Summary" sheetId="3" r:id="rId3"/>
  </sheets>
  <externalReferences>
    <externalReference r:id="rId4"/>
  </externalReferences>
  <definedNames>
    <definedName name="Sales_Performance">OFFSET([1]Sheet1!$A$1,0,0,COUNTA([1]Sheet1!$A:$A),2)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2" i="1" l="1"/>
  <c r="G12" i="1" s="1"/>
  <c r="F11" i="1"/>
  <c r="G11" i="1" s="1"/>
  <c r="F10" i="1"/>
  <c r="G10" i="1" s="1"/>
  <c r="F9" i="1"/>
  <c r="G9" i="1" s="1"/>
  <c r="F8" i="1"/>
  <c r="G8" i="1" s="1"/>
  <c r="F7" i="1"/>
  <c r="G7" i="1" s="1"/>
  <c r="F6" i="1"/>
  <c r="G6" i="1" s="1"/>
  <c r="F5" i="1"/>
  <c r="G5" i="1" s="1"/>
  <c r="F3" i="1"/>
  <c r="G3" i="1" s="1"/>
  <c r="F4" i="1"/>
  <c r="G4" i="1" s="1"/>
  <c r="F2" i="1"/>
  <c r="G2" i="1" s="1"/>
</calcChain>
</file>

<file path=xl/sharedStrings.xml><?xml version="1.0" encoding="utf-8"?>
<sst xmlns="http://schemas.openxmlformats.org/spreadsheetml/2006/main" count="68" uniqueCount="40">
  <si>
    <t>Salesperson</t>
  </si>
  <si>
    <t>Region</t>
  </si>
  <si>
    <t>Month</t>
  </si>
  <si>
    <t>Sales ($)</t>
  </si>
  <si>
    <t>Target ($)</t>
  </si>
  <si>
    <t>% to Target</t>
  </si>
  <si>
    <t>Performance</t>
  </si>
  <si>
    <t>Alice</t>
  </si>
  <si>
    <t>East</t>
  </si>
  <si>
    <t>Jan 2024</t>
  </si>
  <si>
    <t>Bob</t>
  </si>
  <si>
    <t>West</t>
  </si>
  <si>
    <t>Jack</t>
  </si>
  <si>
    <t>North</t>
  </si>
  <si>
    <t>Last Updated: 9/20/2025</t>
  </si>
  <si>
    <t>Mona</t>
  </si>
  <si>
    <t>Hanson</t>
  </si>
  <si>
    <t>South</t>
  </si>
  <si>
    <t>Nancy</t>
  </si>
  <si>
    <t>Note:</t>
  </si>
  <si>
    <t>James</t>
  </si>
  <si>
    <t xml:space="preserve"> </t>
  </si>
  <si>
    <t>Alison</t>
  </si>
  <si>
    <t>Lowest Performing Region:</t>
  </si>
  <si>
    <t>Maria</t>
  </si>
  <si>
    <t>Johnson</t>
  </si>
  <si>
    <t>South (95.7%)</t>
  </si>
  <si>
    <t>as a summarized report</t>
  </si>
  <si>
    <t>The "Send Sales Alerts" button notifies for which Sales Persons the email need to be sent to manager if target met is 80% or lower</t>
  </si>
  <si>
    <t>Email Draft summary (Low Performance SalesPersons)</t>
  </si>
  <si>
    <t>Alex</t>
  </si>
  <si>
    <t>West (74.8%)</t>
  </si>
  <si>
    <t>Top Performers (100%+):</t>
  </si>
  <si>
    <t>On Track (80–99%):</t>
  </si>
  <si>
    <t>Below Target (&lt;80%):</t>
  </si>
  <si>
    <t>Best Performing Region:</t>
  </si>
  <si>
    <t>Executive Summary of Sales Performance</t>
  </si>
  <si>
    <t xml:space="preserve">• Alice (East) - 125.0%   • Hanson (South) - 104.8%   </t>
  </si>
  <si>
    <t xml:space="preserve">• Bob (West) - 95.0%   • Jack (North) - 88.9%   • Mona (South) - 86.7%   • Nancy (West) - 91.7%   </t>
  </si>
  <si>
    <t xml:space="preserve">• James (West) - 65.0%   • Alison (North) - 70.0%   • Maria (East) - 60.0%   • Johnson (West) - 60.0%   • Alex (West) - 62.5%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</si>
</sst>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</font>
    <font>
      <b/>
      <sz val="11"/>
      <color theme="1"/>
      <name val="Cambria"/>
    </font>
    <font>
      <sz val="11"/>
      <color rgb="FF000000"/>
      <name val="Calibri"/>
      <family val="2"/>
    </font>
    <font>
      <b/>
      <sz val="11"/>
      <color theme="4"/>
      <name val="Calibri"/>
      <family val="2"/>
    </font>
    <font>
      <b/>
      <sz val="14"/>
      <color theme="1"/>
      <name val="Cambria"/>
      <family val="1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rgb="FFFF9900"/>
      </patternFill>
    </fill>
    <fill>
      <patternFill patternType="solid">
        <fgColor rgb="FFE6E6F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0" fillId="0" borderId="0" xfId="0" applyNumberFormat="1"/>
    <xf numFmtId="0" fontId="0" fillId="0" borderId="0" xfId="0" applyAlignment="1">
      <alignment wrapText="1"/>
    </xf>
    <xf numFmtId="0" fontId="5" fillId="0" borderId="0" xfId="0" applyFont="1" applyFill="1"/>
    <xf numFmtId="0" fontId="0" fillId="0" borderId="0" xfId="0" applyFill="1"/>
    <xf numFmtId="0" fontId="3" fillId="0" borderId="0" xfId="0" applyFont="1" applyFill="1"/>
    <xf numFmtId="0" fontId="5" fillId="0" borderId="0" xfId="0" applyFont="1" applyAlignment="1">
      <alignment wrapText="1"/>
    </xf>
    <xf numFmtId="0" fontId="6" fillId="3" borderId="0" xfId="0" applyFont="1" applyFill="1"/>
    <xf numFmtId="0" fontId="0" fillId="3" borderId="0" xfId="0" applyFill="1"/>
    <xf numFmtId="0" fontId="0" fillId="3" borderId="0" xfId="0" applyFill="1" applyAlignment="1">
      <alignment wrapText="1"/>
    </xf>
  </cellXfs>
  <cellStyles count="1"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solid">
          <fgColor rgb="FFFF9900"/>
          <bgColor rgb="FFFFC000"/>
        </patternFill>
      </fill>
      <alignment horizontal="center" vertical="bottom" textRotation="0" wrapText="0" indent="0" justifyLastLine="0" shrinkToFit="0" readingOrder="0"/>
    </dxf>
    <dxf>
      <numFmt numFmtId="164" formatCode="0.0"/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Sales vs Target with % to Target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4467370446778061E-2"/>
          <c:y val="0.10712342320059362"/>
          <c:w val="0.92465388363129253"/>
          <c:h val="0.86975719674912022"/>
        </c:manualLayout>
      </c:layout>
      <c:barChart>
        <c:barDir val="col"/>
        <c:grouping val="clustered"/>
        <c:varyColors val="0"/>
        <c:ser>
          <c:idx val="0"/>
          <c:order val="0"/>
          <c:tx>
            <c:v>Sales ($)</c:v>
          </c:tx>
          <c:spPr>
            <a:gradFill rotWithShape="1">
              <a:gsLst>
                <a:gs pos="0">
                  <a:schemeClr val="accent1">
                    <a:tint val="96000"/>
                    <a:lumMod val="104000"/>
                  </a:schemeClr>
                </a:gs>
                <a:gs pos="100000">
                  <a:schemeClr val="accent1">
                    <a:shade val="98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'Raw Data'!$A$2:$A$12</c:f>
              <c:strCache>
                <c:ptCount val="11"/>
                <c:pt idx="0">
                  <c:v>Alice</c:v>
                </c:pt>
                <c:pt idx="1">
                  <c:v>Bob</c:v>
                </c:pt>
                <c:pt idx="2">
                  <c:v>Jack</c:v>
                </c:pt>
                <c:pt idx="3">
                  <c:v>Mona</c:v>
                </c:pt>
                <c:pt idx="4">
                  <c:v>Hanson</c:v>
                </c:pt>
                <c:pt idx="5">
                  <c:v>Nancy</c:v>
                </c:pt>
                <c:pt idx="6">
                  <c:v>James</c:v>
                </c:pt>
                <c:pt idx="7">
                  <c:v>Alison</c:v>
                </c:pt>
                <c:pt idx="8">
                  <c:v>Maria</c:v>
                </c:pt>
                <c:pt idx="9">
                  <c:v>Johnson</c:v>
                </c:pt>
                <c:pt idx="10">
                  <c:v>Alex</c:v>
                </c:pt>
              </c:strCache>
            </c:strRef>
          </c:cat>
          <c:val>
            <c:numRef>
              <c:f>'Raw Data'!$D$2:$D$12</c:f>
              <c:numCache>
                <c:formatCode>General</c:formatCode>
                <c:ptCount val="11"/>
                <c:pt idx="0">
                  <c:v>15000</c:v>
                </c:pt>
                <c:pt idx="1">
                  <c:v>9500</c:v>
                </c:pt>
                <c:pt idx="2">
                  <c:v>16000</c:v>
                </c:pt>
                <c:pt idx="3">
                  <c:v>13000</c:v>
                </c:pt>
                <c:pt idx="4">
                  <c:v>11000</c:v>
                </c:pt>
                <c:pt idx="5">
                  <c:v>11000</c:v>
                </c:pt>
                <c:pt idx="6">
                  <c:v>13000</c:v>
                </c:pt>
                <c:pt idx="7">
                  <c:v>14000</c:v>
                </c:pt>
                <c:pt idx="8">
                  <c:v>6000</c:v>
                </c:pt>
                <c:pt idx="9">
                  <c:v>9000</c:v>
                </c:pt>
                <c:pt idx="10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DE1A-44DE-BD51-4C56797837CF}"/>
            </c:ext>
          </c:extLst>
        </c:ser>
        <c:ser>
          <c:idx val="1"/>
          <c:order val="1"/>
          <c:tx>
            <c:v>Target ($)</c:v>
          </c:tx>
          <c:spPr>
            <a:gradFill rotWithShape="1">
              <a:gsLst>
                <a:gs pos="0">
                  <a:schemeClr val="accent2">
                    <a:tint val="96000"/>
                    <a:lumMod val="104000"/>
                  </a:schemeClr>
                </a:gs>
                <a:gs pos="100000">
                  <a:schemeClr val="accent2">
                    <a:shade val="98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'Raw Data'!$A$2:$A$12</c:f>
              <c:strCache>
                <c:ptCount val="11"/>
                <c:pt idx="0">
                  <c:v>Alice</c:v>
                </c:pt>
                <c:pt idx="1">
                  <c:v>Bob</c:v>
                </c:pt>
                <c:pt idx="2">
                  <c:v>Jack</c:v>
                </c:pt>
                <c:pt idx="3">
                  <c:v>Mona</c:v>
                </c:pt>
                <c:pt idx="4">
                  <c:v>Hanson</c:v>
                </c:pt>
                <c:pt idx="5">
                  <c:v>Nancy</c:v>
                </c:pt>
                <c:pt idx="6">
                  <c:v>James</c:v>
                </c:pt>
                <c:pt idx="7">
                  <c:v>Alison</c:v>
                </c:pt>
                <c:pt idx="8">
                  <c:v>Maria</c:v>
                </c:pt>
                <c:pt idx="9">
                  <c:v>Johnson</c:v>
                </c:pt>
                <c:pt idx="10">
                  <c:v>Alex</c:v>
                </c:pt>
              </c:strCache>
            </c:strRef>
          </c:cat>
          <c:val>
            <c:numRef>
              <c:f>'Raw Data'!$E$2:$E$12</c:f>
              <c:numCache>
                <c:formatCode>General</c:formatCode>
                <c:ptCount val="11"/>
                <c:pt idx="0">
                  <c:v>12000</c:v>
                </c:pt>
                <c:pt idx="1">
                  <c:v>10000</c:v>
                </c:pt>
                <c:pt idx="2">
                  <c:v>18000</c:v>
                </c:pt>
                <c:pt idx="3">
                  <c:v>15000</c:v>
                </c:pt>
                <c:pt idx="4">
                  <c:v>10500</c:v>
                </c:pt>
                <c:pt idx="5">
                  <c:v>12000</c:v>
                </c:pt>
                <c:pt idx="6">
                  <c:v>20000</c:v>
                </c:pt>
                <c:pt idx="7">
                  <c:v>20000</c:v>
                </c:pt>
                <c:pt idx="8">
                  <c:v>10000</c:v>
                </c:pt>
                <c:pt idx="9">
                  <c:v>15000</c:v>
                </c:pt>
                <c:pt idx="10">
                  <c:v>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DE1A-44DE-BD51-4C5679783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2201376"/>
        <c:axId val="275078432"/>
      </c:barChart>
      <c:lineChart>
        <c:grouping val="standard"/>
        <c:varyColors val="0"/>
        <c:ser>
          <c:idx val="2"/>
          <c:order val="2"/>
          <c:tx>
            <c:v>% to Target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tint val="96000"/>
                      <a:lumMod val="104000"/>
                    </a:schemeClr>
                  </a:gs>
                  <a:gs pos="100000">
                    <a:schemeClr val="accent3">
                      <a:shade val="98000"/>
                      <a:lumMod val="94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0800" dist="38100" dir="5400000" rotWithShape="0">
                  <a:srgbClr val="000000">
                    <a:alpha val="60000"/>
                  </a:srgbClr>
                </a:outerShdw>
              </a:effectLst>
            </c:spPr>
          </c:marker>
          <c:cat>
            <c:strRef>
              <c:f>'Raw Data'!$A$2:$A$12</c:f>
              <c:strCache>
                <c:ptCount val="11"/>
                <c:pt idx="0">
                  <c:v>Alice</c:v>
                </c:pt>
                <c:pt idx="1">
                  <c:v>Bob</c:v>
                </c:pt>
                <c:pt idx="2">
                  <c:v>Jack</c:v>
                </c:pt>
                <c:pt idx="3">
                  <c:v>Mona</c:v>
                </c:pt>
                <c:pt idx="4">
                  <c:v>Hanson</c:v>
                </c:pt>
                <c:pt idx="5">
                  <c:v>Nancy</c:v>
                </c:pt>
                <c:pt idx="6">
                  <c:v>James</c:v>
                </c:pt>
                <c:pt idx="7">
                  <c:v>Alison</c:v>
                </c:pt>
                <c:pt idx="8">
                  <c:v>Maria</c:v>
                </c:pt>
                <c:pt idx="9">
                  <c:v>Johnson</c:v>
                </c:pt>
                <c:pt idx="10">
                  <c:v>Alex</c:v>
                </c:pt>
              </c:strCache>
            </c:strRef>
          </c:cat>
          <c:val>
            <c:numRef>
              <c:f>'Raw Data'!$F$2:$F$12</c:f>
              <c:numCache>
                <c:formatCode>0.0</c:formatCode>
                <c:ptCount val="11"/>
                <c:pt idx="0">
                  <c:v>1.25</c:v>
                </c:pt>
                <c:pt idx="1">
                  <c:v>0.95</c:v>
                </c:pt>
                <c:pt idx="2">
                  <c:v>0.88888888888888884</c:v>
                </c:pt>
                <c:pt idx="3">
                  <c:v>0.8666666666666667</c:v>
                </c:pt>
                <c:pt idx="4">
                  <c:v>1.0476190476190477</c:v>
                </c:pt>
                <c:pt idx="5">
                  <c:v>0.91666666666666663</c:v>
                </c:pt>
                <c:pt idx="6">
                  <c:v>0.65</c:v>
                </c:pt>
                <c:pt idx="7">
                  <c:v>0.7</c:v>
                </c:pt>
                <c:pt idx="8">
                  <c:v>0.6</c:v>
                </c:pt>
                <c:pt idx="9">
                  <c:v>0.6</c:v>
                </c:pt>
                <c:pt idx="10">
                  <c:v>0.625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E1A-44DE-BD51-4C5679783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584448"/>
        <c:axId val="310647328"/>
      </c:lineChart>
      <c:catAx>
        <c:axId val="2062201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Salesperson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078432"/>
        <c:crosses val="autoZero"/>
        <c:auto val="1"/>
        <c:lblAlgn val="ctr"/>
        <c:lblOffset val="100"/>
        <c:noMultiLvlLbl val="0"/>
      </c:catAx>
      <c:valAx>
        <c:axId val="27507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Sales / Target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201376"/>
        <c:crosses val="autoZero"/>
        <c:crossBetween val="between"/>
      </c:valAx>
      <c:valAx>
        <c:axId val="3106473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to Target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584448"/>
        <c:crosses val="max"/>
        <c:crossBetween val="between"/>
      </c:valAx>
      <c:catAx>
        <c:axId val="310584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064732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13</xdr:row>
          <xdr:rowOff>76200</xdr:rowOff>
        </xdr:from>
        <xdr:to>
          <xdr:col>2</xdr:col>
          <xdr:colOff>264106</xdr:colOff>
          <xdr:row>15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Summary Sheet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215900</xdr:colOff>
      <xdr:row>53</xdr:row>
      <xdr:rowOff>25400</xdr:rowOff>
    </xdr:to>
    <xdr:graphicFrame macro="">
      <xdr:nvGraphicFramePr>
        <xdr:cNvPr id="6" name="DashboardComboChart">
          <a:extLst>
            <a:ext uri="{FF2B5EF4-FFF2-40B4-BE49-F238E27FC236}">
              <a16:creationId xmlns:a16="http://schemas.microsoft.com/office/drawing/2014/main" id="{89BD9995-0E72-5991-6CC7-FE8FB43F6E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99060</xdr:colOff>
          <xdr:row>32</xdr:row>
          <xdr:rowOff>129540</xdr:rowOff>
        </xdr:from>
        <xdr:to>
          <xdr:col>11</xdr:col>
          <xdr:colOff>30480</xdr:colOff>
          <xdr:row>33</xdr:row>
          <xdr:rowOff>167640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</xdr:row>
          <xdr:rowOff>99060</xdr:rowOff>
        </xdr:from>
        <xdr:to>
          <xdr:col>5</xdr:col>
          <xdr:colOff>571500</xdr:colOff>
          <xdr:row>6</xdr:row>
          <xdr:rowOff>45720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Sales Alerts to Manager as a Summary (Below 80% Target)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4C5A03-1A7F-4657-A972-6019F97EE70D}" name="Table2" displayName="Table2" ref="A1:G12" totalsRowShown="0" headerRowDxfId="0">
  <autoFilter ref="A1:G12" xr:uid="{BB4C5A03-1A7F-4657-A972-6019F97EE70D}"/>
  <tableColumns count="7">
    <tableColumn id="1" xr3:uid="{7FA112E1-C0FF-4834-A49A-43D064575189}" name="Salesperson"/>
    <tableColumn id="2" xr3:uid="{17A50727-4673-4294-A89F-91DE394F2CCD}" name="Region"/>
    <tableColumn id="3" xr3:uid="{923F878E-7E18-40D1-A061-B6B905868389}" name="Month"/>
    <tableColumn id="4" xr3:uid="{B8A2E738-4239-4A3D-A8DE-FEBBD81670B6}" name="Sales ($)"/>
    <tableColumn id="5" xr3:uid="{8311468A-A439-44B0-8A59-3141B6C4032D}" name="Target ($)"/>
    <tableColumn id="6" xr3:uid="{4BEF3BE5-3F9C-4A9B-B018-71E597506BF1}" name="% to Target" dataDxfId="1">
      <calculatedColumnFormula>IF(E2=0, 0, D2/E2)</calculatedColumnFormula>
    </tableColumn>
    <tableColumn id="7" xr3:uid="{C3701E24-1558-418C-B9FF-77ED89550FC4}" name="Performance">
      <calculatedColumnFormula>IF(F2&gt;=1, "Above Target", IF(F2&gt;=0.8, "On Track", "Below Target"))</calculatedColumnFormula>
    </tableColumn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Wisp">
  <a:themeElements>
    <a:clrScheme name="Wisp">
      <a:dk1>
        <a:sysClr val="windowText" lastClr="000000"/>
      </a:dk1>
      <a:lt1>
        <a:sysClr val="window" lastClr="FFFFFF"/>
      </a:lt1>
      <a:dk2>
        <a:srgbClr val="766F54"/>
      </a:dk2>
      <a:lt2>
        <a:srgbClr val="E3EACF"/>
      </a:lt2>
      <a:accent1>
        <a:srgbClr val="A53010"/>
      </a:accent1>
      <a:accent2>
        <a:srgbClr val="DE7E18"/>
      </a:accent2>
      <a:accent3>
        <a:srgbClr val="9F8351"/>
      </a:accent3>
      <a:accent4>
        <a:srgbClr val="728653"/>
      </a:accent4>
      <a:accent5>
        <a:srgbClr val="92AA4C"/>
      </a:accent5>
      <a:accent6>
        <a:srgbClr val="6AAC91"/>
      </a:accent6>
      <a:hlink>
        <a:srgbClr val="FB4A18"/>
      </a:hlink>
      <a:folHlink>
        <a:srgbClr val="FB9318"/>
      </a:folHlink>
    </a:clrScheme>
    <a:fontScheme name="Wisp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Wisp">
      <a:fillStyleLst>
        <a:solidFill>
          <a:schemeClr val="phClr"/>
        </a:solidFill>
        <a:solidFill>
          <a:schemeClr val="phClr">
            <a:tint val="70000"/>
            <a:lumMod val="104000"/>
          </a:schemeClr>
        </a:solidFill>
        <a:gradFill rotWithShape="1">
          <a:gsLst>
            <a:gs pos="0">
              <a:schemeClr val="phClr">
                <a:tint val="96000"/>
                <a:lumMod val="104000"/>
              </a:schemeClr>
            </a:gs>
            <a:gs pos="100000">
              <a:schemeClr val="phClr">
                <a:shade val="98000"/>
                <a:lumMod val="9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shade val="90000"/>
            </a:schemeClr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2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60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20000"/>
              </a:schemeClr>
            </a:gs>
            <a:gs pos="100000">
              <a:schemeClr val="phClr">
                <a:shade val="98000"/>
                <a:satMod val="120000"/>
                <a:lumMod val="9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satMod val="92000"/>
                <a:lumMod val="120000"/>
              </a:schemeClr>
            </a:gs>
            <a:gs pos="100000">
              <a:schemeClr val="phClr">
                <a:shade val="98000"/>
                <a:satMod val="120000"/>
                <a:lumMod val="98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isp" id="{7CB32D59-10C0-40DD-B7BD-2E94284A981C}" vid="{24B1A44C-C006-48B2-A4D7-E5549B3D8CD4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3"/>
  <sheetViews>
    <sheetView tabSelected="1" zoomScale="94" zoomScaleNormal="100" workbookViewId="0">
      <selection activeCell="C27" sqref="C27"/>
    </sheetView>
  </sheetViews>
  <sheetFormatPr defaultColWidth="8.5546875" defaultRowHeight="14.4" x14ac:dyDescent="0.3"/>
  <cols>
    <col min="1" max="1" width="14.21875" customWidth="1"/>
    <col min="2" max="2" width="9.33203125" customWidth="1"/>
    <col min="3" max="3" width="10" customWidth="1"/>
    <col min="4" max="4" width="11" customWidth="1"/>
    <col min="5" max="5" width="12.33203125" customWidth="1"/>
    <col min="6" max="6" width="14" customWidth="1"/>
    <col min="7" max="7" width="15" customWidth="1"/>
    <col min="9" max="9" width="22.44140625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s="2" t="s">
        <v>14</v>
      </c>
    </row>
    <row r="2" spans="1:10" x14ac:dyDescent="0.3">
      <c r="A2" t="s">
        <v>7</v>
      </c>
      <c r="B2" t="s">
        <v>8</v>
      </c>
      <c r="C2" t="s">
        <v>9</v>
      </c>
      <c r="D2">
        <v>15000</v>
      </c>
      <c r="E2">
        <v>12000</v>
      </c>
      <c r="F2" s="4">
        <f>IF(E2=0, 0, D2/E2)</f>
        <v>1.25</v>
      </c>
      <c r="G2" t="str">
        <f>IF(F2&gt;=1, "Above Target", IF(F2&gt;=0.8, "On Track", "Below Target"))</f>
        <v>Above Target</v>
      </c>
      <c r="I2" s="5"/>
    </row>
    <row r="3" spans="1:10" x14ac:dyDescent="0.3">
      <c r="A3" t="s">
        <v>10</v>
      </c>
      <c r="B3" t="s">
        <v>11</v>
      </c>
      <c r="C3" t="s">
        <v>9</v>
      </c>
      <c r="D3">
        <v>9500</v>
      </c>
      <c r="E3">
        <v>10000</v>
      </c>
      <c r="F3" s="4">
        <f t="shared" ref="F3:F10" si="0">IF(E3=0, 0, D3/E3)</f>
        <v>0.95</v>
      </c>
      <c r="G3" t="str">
        <f t="shared" ref="G3:G10" si="1">IF(F3&gt;=1, "Above Target", IF(F3&gt;=0.8, "On Track", "Below Target"))</f>
        <v>On Track</v>
      </c>
    </row>
    <row r="4" spans="1:10" x14ac:dyDescent="0.3">
      <c r="A4" t="s">
        <v>12</v>
      </c>
      <c r="B4" t="s">
        <v>13</v>
      </c>
      <c r="C4" t="s">
        <v>9</v>
      </c>
      <c r="D4">
        <v>16000</v>
      </c>
      <c r="E4">
        <v>18000</v>
      </c>
      <c r="F4" s="4">
        <f t="shared" si="0"/>
        <v>0.88888888888888884</v>
      </c>
      <c r="G4" t="str">
        <f t="shared" si="1"/>
        <v>On Track</v>
      </c>
    </row>
    <row r="5" spans="1:10" x14ac:dyDescent="0.3">
      <c r="A5" t="s">
        <v>15</v>
      </c>
      <c r="B5" t="s">
        <v>17</v>
      </c>
      <c r="C5" t="s">
        <v>9</v>
      </c>
      <c r="D5">
        <v>13000</v>
      </c>
      <c r="E5">
        <v>15000</v>
      </c>
      <c r="F5" s="4">
        <f t="shared" si="0"/>
        <v>0.8666666666666667</v>
      </c>
      <c r="G5" t="str">
        <f t="shared" si="1"/>
        <v>On Track</v>
      </c>
    </row>
    <row r="6" spans="1:10" x14ac:dyDescent="0.3">
      <c r="A6" t="s">
        <v>16</v>
      </c>
      <c r="B6" t="s">
        <v>17</v>
      </c>
      <c r="C6" t="s">
        <v>9</v>
      </c>
      <c r="D6">
        <v>11000</v>
      </c>
      <c r="E6">
        <v>10500</v>
      </c>
      <c r="F6" s="4">
        <f t="shared" si="0"/>
        <v>1.0476190476190477</v>
      </c>
      <c r="G6" t="str">
        <f t="shared" si="1"/>
        <v>Above Target</v>
      </c>
    </row>
    <row r="7" spans="1:10" x14ac:dyDescent="0.3">
      <c r="A7" t="s">
        <v>18</v>
      </c>
      <c r="B7" t="s">
        <v>11</v>
      </c>
      <c r="C7" t="s">
        <v>9</v>
      </c>
      <c r="D7">
        <v>11000</v>
      </c>
      <c r="E7">
        <v>12000</v>
      </c>
      <c r="F7" s="4">
        <f t="shared" si="0"/>
        <v>0.91666666666666663</v>
      </c>
      <c r="G7" t="str">
        <f t="shared" si="1"/>
        <v>On Track</v>
      </c>
    </row>
    <row r="8" spans="1:10" x14ac:dyDescent="0.3">
      <c r="A8" t="s">
        <v>20</v>
      </c>
      <c r="B8" t="s">
        <v>11</v>
      </c>
      <c r="C8" t="s">
        <v>9</v>
      </c>
      <c r="D8">
        <v>13000</v>
      </c>
      <c r="E8">
        <v>20000</v>
      </c>
      <c r="F8" s="4">
        <f t="shared" si="0"/>
        <v>0.65</v>
      </c>
      <c r="G8" t="str">
        <f t="shared" si="1"/>
        <v>Below Target</v>
      </c>
    </row>
    <row r="9" spans="1:10" x14ac:dyDescent="0.3">
      <c r="A9" t="s">
        <v>22</v>
      </c>
      <c r="B9" t="s">
        <v>13</v>
      </c>
      <c r="C9" t="s">
        <v>9</v>
      </c>
      <c r="D9">
        <v>14000</v>
      </c>
      <c r="E9">
        <v>20000</v>
      </c>
      <c r="F9" s="4">
        <f t="shared" si="0"/>
        <v>0.7</v>
      </c>
      <c r="G9" t="str">
        <f t="shared" si="1"/>
        <v>Below Target</v>
      </c>
    </row>
    <row r="10" spans="1:10" x14ac:dyDescent="0.3">
      <c r="A10" t="s">
        <v>24</v>
      </c>
      <c r="B10" t="s">
        <v>8</v>
      </c>
      <c r="C10" t="s">
        <v>9</v>
      </c>
      <c r="D10">
        <v>6000</v>
      </c>
      <c r="E10">
        <v>10000</v>
      </c>
      <c r="F10" s="4">
        <f t="shared" si="0"/>
        <v>0.6</v>
      </c>
      <c r="G10" t="str">
        <f t="shared" si="1"/>
        <v>Below Target</v>
      </c>
    </row>
    <row r="11" spans="1:10" x14ac:dyDescent="0.3">
      <c r="A11" t="s">
        <v>25</v>
      </c>
      <c r="B11" t="s">
        <v>11</v>
      </c>
      <c r="C11" t="s">
        <v>9</v>
      </c>
      <c r="D11">
        <v>9000</v>
      </c>
      <c r="E11">
        <v>15000</v>
      </c>
      <c r="F11" s="4">
        <f t="shared" ref="F11" si="2">IF(E11=0, 0, D11/E11)</f>
        <v>0.6</v>
      </c>
      <c r="G11" t="str">
        <f t="shared" ref="G11" si="3">IF(F11&gt;=1, "Above Target", IF(F11&gt;=0.8, "On Track", "Below Target"))</f>
        <v>Below Target</v>
      </c>
    </row>
    <row r="12" spans="1:10" x14ac:dyDescent="0.3">
      <c r="A12" t="s">
        <v>30</v>
      </c>
      <c r="B12" t="s">
        <v>11</v>
      </c>
      <c r="C12" t="s">
        <v>9</v>
      </c>
      <c r="D12">
        <v>5000</v>
      </c>
      <c r="E12">
        <v>8000</v>
      </c>
      <c r="F12" s="4">
        <f>IF(E12=0, 0, D12/E12)</f>
        <v>0.625</v>
      </c>
      <c r="G12" t="str">
        <f>IF(F12&gt;=1, "Above Target", IF(F12&gt;=0.8, "On Track", "Below Target"))</f>
        <v>Below Target</v>
      </c>
      <c r="I12" s="2"/>
      <c r="J12" s="2"/>
    </row>
    <row r="13" spans="1:10" x14ac:dyDescent="0.3">
      <c r="B13" t="s">
        <v>21</v>
      </c>
    </row>
  </sheetData>
  <pageMargins left="0.75" right="0.75" top="1" bottom="1" header="0.511811023622047" footer="0.511811023622047"/>
  <pageSetup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GeneratePerformanceSummary">
                <anchor moveWithCells="1">
                  <from>
                    <xdr:col>0</xdr:col>
                    <xdr:colOff>106680</xdr:colOff>
                    <xdr:row>13</xdr:row>
                    <xdr:rowOff>76200</xdr:rowOff>
                  </from>
                  <to>
                    <xdr:col>2</xdr:col>
                    <xdr:colOff>601980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5:H65"/>
  <sheetViews>
    <sheetView topLeftCell="A29" zoomScale="80" zoomScaleNormal="80" workbookViewId="0">
      <selection activeCell="C59" sqref="C59"/>
    </sheetView>
  </sheetViews>
  <sheetFormatPr defaultColWidth="8.5546875" defaultRowHeight="14.4" x14ac:dyDescent="0.3"/>
  <cols>
    <col min="2" max="2" width="47.33203125" bestFit="1" customWidth="1"/>
    <col min="3" max="3" width="96.6640625" bestFit="1" customWidth="1"/>
  </cols>
  <sheetData>
    <row r="5" spans="8:8" x14ac:dyDescent="0.3">
      <c r="H5" s="9"/>
    </row>
    <row r="25" spans="2:8" ht="18" x14ac:dyDescent="0.35">
      <c r="B25" s="10" t="s">
        <v>36</v>
      </c>
      <c r="C25" s="11"/>
      <c r="D25" s="7"/>
      <c r="E25" s="7"/>
      <c r="F25" s="7"/>
      <c r="G25" s="7"/>
      <c r="H25" s="7"/>
    </row>
    <row r="26" spans="2:8" x14ac:dyDescent="0.3">
      <c r="B26" s="11"/>
      <c r="C26" s="11"/>
      <c r="D26" s="7"/>
      <c r="E26" s="7"/>
      <c r="F26" s="7"/>
      <c r="G26" s="7"/>
      <c r="H26" s="7"/>
    </row>
    <row r="27" spans="2:8" x14ac:dyDescent="0.3">
      <c r="B27" s="11" t="s">
        <v>32</v>
      </c>
      <c r="C27" s="12" t="s">
        <v>37</v>
      </c>
      <c r="D27" s="7"/>
      <c r="E27" s="7"/>
      <c r="F27" s="7"/>
      <c r="G27" s="7"/>
      <c r="H27" s="7"/>
    </row>
    <row r="28" spans="2:8" x14ac:dyDescent="0.3">
      <c r="B28" s="11" t="s">
        <v>33</v>
      </c>
      <c r="C28" s="12" t="s">
        <v>38</v>
      </c>
      <c r="D28" s="7"/>
      <c r="E28" s="7"/>
      <c r="F28" s="7"/>
      <c r="G28" s="7"/>
      <c r="H28" s="7"/>
    </row>
    <row r="29" spans="2:8" ht="28.8" x14ac:dyDescent="0.3">
      <c r="B29" s="11" t="s">
        <v>34</v>
      </c>
      <c r="C29" s="12" t="s">
        <v>39</v>
      </c>
      <c r="D29" s="7"/>
      <c r="E29" s="7"/>
      <c r="F29" s="7"/>
      <c r="G29" s="7"/>
      <c r="H29" s="7"/>
    </row>
    <row r="30" spans="2:8" x14ac:dyDescent="0.3">
      <c r="B30" s="11"/>
      <c r="C30" s="11"/>
      <c r="D30" s="7"/>
      <c r="E30" s="7"/>
      <c r="F30" s="7"/>
      <c r="G30" s="7"/>
      <c r="H30" s="7"/>
    </row>
    <row r="31" spans="2:8" x14ac:dyDescent="0.3">
      <c r="B31" s="11" t="s">
        <v>35</v>
      </c>
      <c r="C31" s="11" t="s">
        <v>26</v>
      </c>
      <c r="D31" s="7"/>
      <c r="E31" s="7"/>
      <c r="F31" s="7"/>
      <c r="G31" s="7"/>
      <c r="H31" s="7"/>
    </row>
    <row r="32" spans="2:8" x14ac:dyDescent="0.3">
      <c r="B32" s="11" t="s">
        <v>23</v>
      </c>
      <c r="C32" s="11" t="s">
        <v>31</v>
      </c>
      <c r="D32" s="7"/>
      <c r="E32" s="7"/>
      <c r="F32" s="7"/>
      <c r="G32" s="7"/>
      <c r="H32" s="7"/>
    </row>
    <row r="33" spans="2:8" x14ac:dyDescent="0.3">
      <c r="B33" s="8"/>
      <c r="C33" s="8"/>
      <c r="D33" s="7"/>
      <c r="E33" s="7"/>
      <c r="F33" s="7"/>
      <c r="G33" s="7"/>
      <c r="H33" s="7"/>
    </row>
    <row r="34" spans="2:8" x14ac:dyDescent="0.3">
      <c r="B34" s="6"/>
      <c r="C34" s="7"/>
      <c r="D34" s="6"/>
      <c r="E34" s="7"/>
      <c r="F34" s="6"/>
    </row>
    <row r="35" spans="2:8" x14ac:dyDescent="0.3">
      <c r="B35" s="7"/>
      <c r="C35" s="7"/>
      <c r="D35" s="7"/>
      <c r="E35" s="7"/>
      <c r="F35" s="7"/>
    </row>
    <row r="36" spans="2:8" x14ac:dyDescent="0.3">
      <c r="B36" s="6"/>
      <c r="C36" s="7"/>
      <c r="D36" s="7"/>
      <c r="E36" s="7"/>
      <c r="F36" s="7"/>
    </row>
    <row r="37" spans="2:8" x14ac:dyDescent="0.3">
      <c r="B37" s="7"/>
      <c r="C37" s="7"/>
      <c r="D37" s="7"/>
      <c r="E37" s="7"/>
      <c r="F37" s="7"/>
    </row>
    <row r="38" spans="2:8" x14ac:dyDescent="0.3">
      <c r="B38" s="6"/>
      <c r="C38" s="7"/>
      <c r="D38" s="7"/>
      <c r="E38" s="7"/>
      <c r="F38" s="7"/>
    </row>
    <row r="39" spans="2:8" x14ac:dyDescent="0.3">
      <c r="B39" s="7"/>
      <c r="C39" s="7"/>
      <c r="D39" s="7"/>
      <c r="E39" s="7"/>
      <c r="F39" s="7"/>
    </row>
    <row r="40" spans="2:8" x14ac:dyDescent="0.3">
      <c r="B40" s="6"/>
      <c r="C40" s="7"/>
      <c r="D40" s="7"/>
      <c r="E40" s="7"/>
      <c r="F40" s="7"/>
    </row>
    <row r="41" spans="2:8" x14ac:dyDescent="0.3">
      <c r="B41" s="7"/>
      <c r="C41" s="7"/>
      <c r="D41" s="7"/>
      <c r="E41" s="7"/>
      <c r="F41" s="7"/>
    </row>
    <row r="42" spans="2:8" x14ac:dyDescent="0.3">
      <c r="B42" s="6"/>
      <c r="C42" s="7"/>
      <c r="D42" s="7"/>
      <c r="E42" s="7"/>
      <c r="F42" s="7"/>
    </row>
    <row r="43" spans="2:8" x14ac:dyDescent="0.3">
      <c r="B43" s="6"/>
      <c r="C43" s="7"/>
      <c r="D43" s="7"/>
      <c r="E43" s="7"/>
      <c r="F43" s="7"/>
    </row>
    <row r="44" spans="2:8" x14ac:dyDescent="0.3">
      <c r="B44" s="7"/>
      <c r="C44" s="7"/>
      <c r="D44" s="7"/>
      <c r="E44" s="7"/>
      <c r="F44" s="7"/>
    </row>
    <row r="45" spans="2:8" x14ac:dyDescent="0.3">
      <c r="B45" s="7"/>
      <c r="C45" s="7"/>
      <c r="D45" s="7"/>
      <c r="E45" s="7"/>
      <c r="F45" s="7"/>
    </row>
    <row r="46" spans="2:8" x14ac:dyDescent="0.3">
      <c r="B46" s="7"/>
      <c r="C46" s="7"/>
      <c r="D46" s="7"/>
      <c r="E46" s="7"/>
      <c r="F46" s="7"/>
    </row>
    <row r="47" spans="2:8" x14ac:dyDescent="0.3">
      <c r="B47" s="7"/>
      <c r="C47" s="7"/>
      <c r="D47" s="7"/>
      <c r="E47" s="7"/>
      <c r="F47" s="7"/>
    </row>
    <row r="48" spans="2:8" x14ac:dyDescent="0.3">
      <c r="B48" s="7"/>
      <c r="C48" s="7"/>
      <c r="D48" s="7"/>
      <c r="E48" s="7"/>
      <c r="F48" s="7"/>
    </row>
    <row r="49" spans="2:6" x14ac:dyDescent="0.3">
      <c r="B49" s="7"/>
      <c r="C49" s="7"/>
      <c r="D49" s="7"/>
      <c r="E49" s="7"/>
      <c r="F49" s="7"/>
    </row>
    <row r="50" spans="2:6" x14ac:dyDescent="0.3">
      <c r="B50" s="7"/>
      <c r="C50" s="7"/>
      <c r="D50" s="7"/>
      <c r="E50" s="7"/>
      <c r="F50" s="7"/>
    </row>
    <row r="57" spans="2:6" ht="18" x14ac:dyDescent="0.35">
      <c r="B57" s="10" t="s">
        <v>36</v>
      </c>
      <c r="C57" s="11"/>
      <c r="D57" s="7"/>
      <c r="E57" s="7"/>
      <c r="F57" s="7"/>
    </row>
    <row r="58" spans="2:6" x14ac:dyDescent="0.3">
      <c r="B58" s="11"/>
      <c r="C58" s="11"/>
      <c r="D58" s="7"/>
      <c r="E58" s="7"/>
      <c r="F58" s="7"/>
    </row>
    <row r="59" spans="2:6" x14ac:dyDescent="0.3">
      <c r="B59" s="11" t="s">
        <v>32</v>
      </c>
      <c r="C59" s="12" t="s">
        <v>37</v>
      </c>
      <c r="D59" s="7"/>
      <c r="E59" s="7"/>
      <c r="F59" s="7"/>
    </row>
    <row r="60" spans="2:6" x14ac:dyDescent="0.3">
      <c r="B60" s="11" t="s">
        <v>33</v>
      </c>
      <c r="C60" s="12" t="s">
        <v>38</v>
      </c>
      <c r="D60" s="7"/>
      <c r="E60" s="7"/>
      <c r="F60" s="7"/>
    </row>
    <row r="61" spans="2:6" ht="28.8" x14ac:dyDescent="0.3">
      <c r="B61" s="11" t="s">
        <v>34</v>
      </c>
      <c r="C61" s="12" t="s">
        <v>39</v>
      </c>
      <c r="D61" s="7"/>
      <c r="E61" s="7"/>
      <c r="F61" s="7"/>
    </row>
    <row r="62" spans="2:6" x14ac:dyDescent="0.3">
      <c r="B62" s="11"/>
      <c r="C62" s="11"/>
      <c r="D62" s="7"/>
      <c r="E62" s="7"/>
      <c r="F62" s="7"/>
    </row>
    <row r="63" spans="2:6" x14ac:dyDescent="0.3">
      <c r="B63" s="11" t="s">
        <v>35</v>
      </c>
      <c r="C63" s="11" t="s">
        <v>26</v>
      </c>
      <c r="D63" s="7"/>
      <c r="E63" s="7"/>
      <c r="F63" s="7"/>
    </row>
    <row r="64" spans="2:6" x14ac:dyDescent="0.3">
      <c r="B64" s="11" t="s">
        <v>23</v>
      </c>
      <c r="C64" s="11" t="s">
        <v>31</v>
      </c>
      <c r="D64" s="7"/>
      <c r="E64" s="7"/>
      <c r="F64" s="7"/>
    </row>
    <row r="65" spans="2:6" x14ac:dyDescent="0.3">
      <c r="B65" s="11"/>
      <c r="C65" s="11"/>
      <c r="D65" s="7"/>
      <c r="E65" s="7"/>
      <c r="F65" s="7"/>
    </row>
  </sheetData>
  <pageMargins left="0.75" right="0.75" top="1" bottom="1" header="0.511811023622047" footer="0.511811023622047"/>
  <pageSetup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UpdateDashboardComboChart">
                <anchor moveWithCells="1">
                  <from>
                    <xdr:col>10</xdr:col>
                    <xdr:colOff>99060</xdr:colOff>
                    <xdr:row>32</xdr:row>
                    <xdr:rowOff>129540</xdr:rowOff>
                  </from>
                  <to>
                    <xdr:col>11</xdr:col>
                    <xdr:colOff>30480</xdr:colOff>
                    <xdr:row>33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2"/>
  <sheetViews>
    <sheetView zoomScaleNormal="100" workbookViewId="0">
      <selection activeCell="C22" sqref="C22"/>
    </sheetView>
  </sheetViews>
  <sheetFormatPr defaultColWidth="8.5546875" defaultRowHeight="14.4" x14ac:dyDescent="0.3"/>
  <cols>
    <col min="1" max="1" width="14.88671875" bestFit="1" customWidth="1"/>
  </cols>
  <sheetData>
    <row r="1" spans="1:3" ht="17.399999999999999" x14ac:dyDescent="0.3">
      <c r="A1" s="3" t="s">
        <v>29</v>
      </c>
    </row>
    <row r="8" spans="1:3" x14ac:dyDescent="0.3">
      <c r="B8" s="2" t="s">
        <v>19</v>
      </c>
      <c r="C8" s="2" t="s">
        <v>28</v>
      </c>
    </row>
    <row r="9" spans="1:3" x14ac:dyDescent="0.3">
      <c r="C9" s="2" t="s">
        <v>27</v>
      </c>
    </row>
    <row r="11" spans="1:3" x14ac:dyDescent="0.3">
      <c r="B11" s="2"/>
      <c r="C11" s="2"/>
    </row>
    <row r="12" spans="1:3" x14ac:dyDescent="0.3">
      <c r="B12" s="2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CreateExecutiveEmailDraft">
                <anchor moveWithCells="1">
                  <from>
                    <xdr:col>2</xdr:col>
                    <xdr:colOff>45720</xdr:colOff>
                    <xdr:row>1</xdr:row>
                    <xdr:rowOff>99060</xdr:rowOff>
                  </from>
                  <to>
                    <xdr:col>5</xdr:col>
                    <xdr:colOff>571500</xdr:colOff>
                    <xdr:row>6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Dashboard</vt:lpstr>
      <vt:lpstr>Sales Alert Email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Nupur Singh</cp:lastModifiedBy>
  <cp:revision>2</cp:revision>
  <dcterms:created xsi:type="dcterms:W3CDTF">2025-07-12T01:03:02Z</dcterms:created>
  <dcterms:modified xsi:type="dcterms:W3CDTF">2025-09-26T02:28:25Z</dcterms:modified>
  <dc:language>en-US</dc:language>
</cp:coreProperties>
</file>