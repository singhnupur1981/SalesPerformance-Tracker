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pur Singh\Downloads\"/>
    </mc:Choice>
  </mc:AlternateContent>
  <xr:revisionPtr revIDLastSave="0" documentId="13_ncr:1_{06DBB9F0-9155-4A4C-943F-7C7A348E7BC5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Raw Data" sheetId="1" r:id="rId1"/>
    <sheet name="Summary" sheetId="14" r:id="rId2"/>
    <sheet name="Dashboard" sheetId="2" r:id="rId3"/>
    <sheet name="Settings" sheetId="3" r:id="rId4"/>
    <sheet name="Macro Instructions" sheetId="4" r:id="rId5"/>
  </sheets>
  <externalReferences>
    <externalReference r:id="rId6"/>
  </externalReferences>
  <definedNames>
    <definedName name="Sales_Performance">OFFSET([1]Sheet1!$A$1,0,0,COUNTA([1]Sheet1!$A:$A),2)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7" i="1" l="1"/>
  <c r="G7" i="1"/>
  <c r="F6" i="1"/>
  <c r="G6" i="1" s="1"/>
  <c r="F5" i="1"/>
  <c r="G5" i="1"/>
  <c r="F3" i="1"/>
  <c r="G3" i="1" s="1"/>
  <c r="F4" i="1"/>
  <c r="G4" i="1" s="1"/>
  <c r="F2" i="1"/>
  <c r="G2" i="1" s="1"/>
</calcChain>
</file>

<file path=xl/sharedStrings.xml><?xml version="1.0" encoding="utf-8"?>
<sst xmlns="http://schemas.openxmlformats.org/spreadsheetml/2006/main" count="54" uniqueCount="41">
  <si>
    <t>Salesperson</t>
  </si>
  <si>
    <t>Region</t>
  </si>
  <si>
    <t>Month</t>
  </si>
  <si>
    <t>Sales ($)</t>
  </si>
  <si>
    <t>Target ($)</t>
  </si>
  <si>
    <t>% to Target</t>
  </si>
  <si>
    <t>Performance</t>
  </si>
  <si>
    <t>Alice</t>
  </si>
  <si>
    <t>East</t>
  </si>
  <si>
    <t>Jan 2024</t>
  </si>
  <si>
    <t>Bob</t>
  </si>
  <si>
    <t>West</t>
  </si>
  <si>
    <t>Settings</t>
  </si>
  <si>
    <t>Email Recipients:</t>
  </si>
  <si>
    <t>sales_team@example.com</t>
  </si>
  <si>
    <t>Data File Path:</t>
  </si>
  <si>
    <t>/path/to/datafile.csv</t>
  </si>
  <si>
    <t>📜 VBA Macros Instructions</t>
  </si>
  <si>
    <t>Feature</t>
  </si>
  <si>
    <t>Description</t>
  </si>
  <si>
    <t>Import Data Button</t>
  </si>
  <si>
    <t>Import CSV data into the Raw Data sheet.</t>
  </si>
  <si>
    <t>Update Dashboard Button</t>
  </si>
  <si>
    <t>Refresh PivotTables and charts.</t>
  </si>
  <si>
    <t>Send Report Email</t>
  </si>
  <si>
    <t>Email the dashboard as a PDF.</t>
  </si>
  <si>
    <t>Schedule Automation</t>
  </si>
  <si>
    <t>Use VBA to schedule daily/weekly report sending.</t>
  </si>
  <si>
    <t>Sales Count</t>
  </si>
  <si>
    <t>Jack</t>
  </si>
  <si>
    <t>North</t>
  </si>
  <si>
    <t>Last Updated: 9/20/2025</t>
  </si>
  <si>
    <t>Mona</t>
  </si>
  <si>
    <t>Hanson</t>
  </si>
  <si>
    <t>South</t>
  </si>
  <si>
    <t>Nancy</t>
  </si>
  <si>
    <t>Note:</t>
  </si>
  <si>
    <t>The button to automataclly update the chart as per the raw data tab changes</t>
  </si>
  <si>
    <t>The "Send Sales Alerts" button to send out Sales Trigger Alerts</t>
  </si>
  <si>
    <r>
      <t>Purpose:</t>
    </r>
    <r>
      <rPr>
        <sz val="11"/>
        <color theme="1"/>
        <rFont val="Calibri"/>
        <family val="2"/>
      </rPr>
      <t xml:space="preserve"> Sends an </t>
    </r>
    <r>
      <rPr>
        <b/>
        <sz val="11"/>
        <color theme="1"/>
        <rFont val="Calibri"/>
        <family val="2"/>
      </rPr>
      <t>Outlook email to the manager</t>
    </r>
    <r>
      <rPr>
        <sz val="11"/>
        <color theme="1"/>
        <rFont val="Calibri"/>
        <family val="2"/>
      </rPr>
      <t xml:space="preserve"> with a simple alert message.</t>
    </r>
  </si>
  <si>
    <t>Note Also updates the highest Salesperson in Terms of %of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</si>
</sst>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</font>
    <font>
      <b/>
      <sz val="11"/>
      <color theme="1"/>
      <name val="Cambria"/>
    </font>
    <font>
      <b/>
      <sz val="14"/>
      <color theme="1"/>
      <name val="Cambria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4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BDD7EE"/>
        <bgColor rgb="FF99CCFF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0" fontId="1" fillId="3" borderId="0" xfId="0" applyFont="1" applyFill="1"/>
    <xf numFmtId="0" fontId="0" fillId="4" borderId="0" xfId="0" applyFill="1"/>
    <xf numFmtId="164" fontId="0" fillId="4" borderId="0" xfId="0" applyNumberFormat="1" applyFill="1"/>
    <xf numFmtId="164" fontId="0" fillId="0" borderId="0" xfId="0" applyNumberForma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vs Target with % to Target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 ($)</c:v>
          </c:tx>
          <c:invertIfNegative val="0"/>
          <c:cat>
            <c:strRef>
              <c:f>'Raw Data'!$A$2:$A$7</c:f>
              <c:strCache>
                <c:ptCount val="6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</c:strCache>
            </c:strRef>
          </c:cat>
          <c:val>
            <c:numRef>
              <c:f>'Raw Data'!$D$2:$D$7</c:f>
              <c:numCache>
                <c:formatCode>General</c:formatCode>
                <c:ptCount val="6"/>
                <c:pt idx="0">
                  <c:v>15000</c:v>
                </c:pt>
                <c:pt idx="1">
                  <c:v>9500</c:v>
                </c:pt>
                <c:pt idx="2">
                  <c:v>16000</c:v>
                </c:pt>
                <c:pt idx="3">
                  <c:v>13000</c:v>
                </c:pt>
                <c:pt idx="4">
                  <c:v>11000</c:v>
                </c:pt>
                <c:pt idx="5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B27-4A5B-A7A7-17888F844E03}"/>
            </c:ext>
          </c:extLst>
        </c:ser>
        <c:ser>
          <c:idx val="1"/>
          <c:order val="1"/>
          <c:tx>
            <c:v>Target ($)</c:v>
          </c:tx>
          <c:invertIfNegative val="0"/>
          <c:cat>
            <c:strRef>
              <c:f>'Raw Data'!$A$2:$A$7</c:f>
              <c:strCache>
                <c:ptCount val="6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</c:strCache>
            </c:strRef>
          </c:cat>
          <c:val>
            <c:numRef>
              <c:f>'Raw Data'!$E$2:$E$7</c:f>
              <c:numCache>
                <c:formatCode>General</c:formatCode>
                <c:ptCount val="6"/>
                <c:pt idx="0">
                  <c:v>12000</c:v>
                </c:pt>
                <c:pt idx="1">
                  <c:v>10000</c:v>
                </c:pt>
                <c:pt idx="2">
                  <c:v>18000</c:v>
                </c:pt>
                <c:pt idx="3">
                  <c:v>15000</c:v>
                </c:pt>
                <c:pt idx="4">
                  <c:v>10500</c:v>
                </c:pt>
                <c:pt idx="5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B27-4A5B-A7A7-17888F84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201376"/>
        <c:axId val="275078432"/>
      </c:barChart>
      <c:lineChart>
        <c:grouping val="standard"/>
        <c:varyColors val="0"/>
        <c:ser>
          <c:idx val="2"/>
          <c:order val="2"/>
          <c:tx>
            <c:v>% to Target</c:v>
          </c:tx>
          <c:cat>
            <c:strRef>
              <c:f>'Raw Data'!$A$2:$A$7</c:f>
              <c:strCache>
                <c:ptCount val="6"/>
                <c:pt idx="0">
                  <c:v>Alice</c:v>
                </c:pt>
                <c:pt idx="1">
                  <c:v>Bob</c:v>
                </c:pt>
                <c:pt idx="2">
                  <c:v>Jack</c:v>
                </c:pt>
                <c:pt idx="3">
                  <c:v>Mona</c:v>
                </c:pt>
                <c:pt idx="4">
                  <c:v>Hanson</c:v>
                </c:pt>
                <c:pt idx="5">
                  <c:v>Nancy</c:v>
                </c:pt>
              </c:strCache>
            </c:strRef>
          </c:cat>
          <c:val>
            <c:numRef>
              <c:f>'Raw Data'!$F$2:$F$7</c:f>
              <c:numCache>
                <c:formatCode>0.0</c:formatCode>
                <c:ptCount val="6"/>
                <c:pt idx="0">
                  <c:v>1.25</c:v>
                </c:pt>
                <c:pt idx="1">
                  <c:v>0.95</c:v>
                </c:pt>
                <c:pt idx="2">
                  <c:v>0.88888888888888884</c:v>
                </c:pt>
                <c:pt idx="3">
                  <c:v>0.8666666666666667</c:v>
                </c:pt>
                <c:pt idx="4">
                  <c:v>1.0476190476190477</c:v>
                </c:pt>
                <c:pt idx="5">
                  <c:v>0.54166666666666663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B27-4A5B-A7A7-17888F84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079536"/>
        <c:axId val="314072816"/>
      </c:lineChart>
      <c:catAx>
        <c:axId val="2062201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Salesperson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078432"/>
        <c:crosses val="autoZero"/>
        <c:auto val="1"/>
        <c:lblAlgn val="ctr"/>
        <c:lblOffset val="100"/>
        <c:noMultiLvlLbl val="0"/>
      </c:catAx>
      <c:valAx>
        <c:axId val="27507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Sales / Target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2201376"/>
        <c:crosses val="autoZero"/>
        <c:crossBetween val="between"/>
      </c:valAx>
      <c:valAx>
        <c:axId val="3140728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to Target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14079536"/>
        <c:crosses val="max"/>
        <c:crossBetween val="between"/>
      </c:valAx>
      <c:catAx>
        <c:axId val="314079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4072816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48260</xdr:colOff>
      <xdr:row>3</xdr:row>
      <xdr:rowOff>86360</xdr:rowOff>
    </xdr:from>
    <xdr:to>
      <xdr:col>17</xdr:col>
      <xdr:colOff>30480</xdr:colOff>
      <xdr:row>31</xdr:row>
      <xdr:rowOff>106680</xdr:rowOff>
    </xdr:to>
    <xdr:graphicFrame macro="">
      <xdr:nvGraphicFramePr>
        <xdr:cNvPr id="6" name="DashboardComboChart">
          <a:extLst>
            <a:ext uri="{FF2B5EF4-FFF2-40B4-BE49-F238E27FC236}">
              <a16:creationId xmlns:a16="http://schemas.microsoft.com/office/drawing/2014/main" id="{89BD9995-0E72-5991-6CC7-FE8FB43F6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32</xdr:row>
          <xdr:rowOff>129540</xdr:rowOff>
        </xdr:from>
        <xdr:to>
          <xdr:col>11</xdr:col>
          <xdr:colOff>30480</xdr:colOff>
          <xdr:row>33</xdr:row>
          <xdr:rowOff>167640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DE9ECEC-DCE5-6B4C-CFCA-02E1E483B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129540</xdr:colOff>
          <xdr:row>10</xdr:row>
          <xdr:rowOff>106680</xdr:rowOff>
        </xdr:from>
        <xdr:to>
          <xdr:col>11</xdr:col>
          <xdr:colOff>68580</xdr:colOff>
          <xdr:row>15</xdr:row>
          <xdr:rowOff>53340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3611D616-C0D1-D6E0-E52E-1E86EC02A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Sales Alerts (Below 60% Target)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"/>
  <sheetViews>
    <sheetView tabSelected="1" zoomScaleNormal="100" workbookViewId="0">
      <selection activeCell="C15" sqref="C15"/>
    </sheetView>
  </sheetViews>
  <sheetFormatPr defaultColWidth="8.5546875" defaultRowHeight="14.4" x14ac:dyDescent="0.3"/>
  <cols>
    <col min="1" max="1" width="13" customWidth="1"/>
    <col min="2" max="2" width="8" customWidth="1"/>
    <col min="3" max="3" width="10" customWidth="1"/>
    <col min="4" max="4" width="11" customWidth="1"/>
    <col min="5" max="5" width="12" customWidth="1"/>
    <col min="6" max="7" width="13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31</v>
      </c>
    </row>
    <row r="2" spans="1:10" s="4" customFormat="1" x14ac:dyDescent="0.3">
      <c r="A2" s="4" t="s">
        <v>7</v>
      </c>
      <c r="B2" s="4" t="s">
        <v>8</v>
      </c>
      <c r="C2" s="4" t="s">
        <v>9</v>
      </c>
      <c r="D2">
        <v>15000</v>
      </c>
      <c r="E2" s="4">
        <v>12000</v>
      </c>
      <c r="F2" s="5">
        <f>IF(E2=0, 0, D2/E2)</f>
        <v>1.25</v>
      </c>
      <c r="G2" s="4" t="str">
        <f>IF(F2&gt;=1, "Above Target", IF(F2&gt;=0.8, "On Track", "Below Target"))</f>
        <v>Above Target</v>
      </c>
    </row>
    <row r="3" spans="1:10" x14ac:dyDescent="0.3">
      <c r="A3" t="s">
        <v>10</v>
      </c>
      <c r="B3" t="s">
        <v>11</v>
      </c>
      <c r="C3" t="s">
        <v>9</v>
      </c>
      <c r="D3">
        <v>9500</v>
      </c>
      <c r="E3">
        <v>10000</v>
      </c>
      <c r="F3" s="6">
        <f t="shared" ref="F3:F7" si="0">IF(E3=0, 0, D3/E3)</f>
        <v>0.95</v>
      </c>
      <c r="G3" t="str">
        <f t="shared" ref="G3:G7" si="1">IF(F3&gt;=1, "Above Target", IF(F3&gt;=0.8, "On Track", "Below Target"))</f>
        <v>On Track</v>
      </c>
      <c r="I3" s="8" t="s">
        <v>40</v>
      </c>
    </row>
    <row r="4" spans="1:10" x14ac:dyDescent="0.3">
      <c r="A4" t="s">
        <v>29</v>
      </c>
      <c r="B4" t="s">
        <v>30</v>
      </c>
      <c r="C4" t="s">
        <v>9</v>
      </c>
      <c r="D4">
        <v>16000</v>
      </c>
      <c r="E4">
        <v>18000</v>
      </c>
      <c r="F4" s="6">
        <f t="shared" si="0"/>
        <v>0.88888888888888884</v>
      </c>
      <c r="G4" t="str">
        <f t="shared" si="1"/>
        <v>On Track</v>
      </c>
    </row>
    <row r="5" spans="1:10" x14ac:dyDescent="0.3">
      <c r="A5" t="s">
        <v>32</v>
      </c>
      <c r="B5" t="s">
        <v>34</v>
      </c>
      <c r="C5" t="s">
        <v>9</v>
      </c>
      <c r="D5">
        <v>13000</v>
      </c>
      <c r="E5">
        <v>15000</v>
      </c>
      <c r="F5" s="6">
        <f t="shared" si="0"/>
        <v>0.8666666666666667</v>
      </c>
      <c r="G5" t="str">
        <f t="shared" si="1"/>
        <v>On Track</v>
      </c>
    </row>
    <row r="6" spans="1:10" x14ac:dyDescent="0.3">
      <c r="A6" t="s">
        <v>33</v>
      </c>
      <c r="B6" t="s">
        <v>34</v>
      </c>
      <c r="C6" t="s">
        <v>9</v>
      </c>
      <c r="D6">
        <v>11000</v>
      </c>
      <c r="E6">
        <v>10500</v>
      </c>
      <c r="F6" s="6">
        <f t="shared" si="0"/>
        <v>1.0476190476190477</v>
      </c>
      <c r="G6" t="str">
        <f t="shared" si="1"/>
        <v>Above Target</v>
      </c>
    </row>
    <row r="7" spans="1:10" x14ac:dyDescent="0.3">
      <c r="A7" t="s">
        <v>35</v>
      </c>
      <c r="B7" t="s">
        <v>11</v>
      </c>
      <c r="C7" t="s">
        <v>9</v>
      </c>
      <c r="D7">
        <v>6500</v>
      </c>
      <c r="E7">
        <v>12000</v>
      </c>
      <c r="F7" s="6">
        <f t="shared" si="0"/>
        <v>0.54166666666666663</v>
      </c>
      <c r="G7" t="str">
        <f t="shared" si="1"/>
        <v>Below Target</v>
      </c>
    </row>
    <row r="14" spans="1:10" x14ac:dyDescent="0.3">
      <c r="I14" s="8"/>
      <c r="J14" s="8"/>
    </row>
  </sheetData>
  <pageMargins left="0.75" right="0.75" top="1" bottom="1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4F7B4-1EC3-44FC-B92E-1CC26F191BEA}">
  <sheetPr codeName="Sheet6"/>
  <dimension ref="A1:B5"/>
  <sheetViews>
    <sheetView workbookViewId="0">
      <selection activeCell="G5" sqref="G5"/>
    </sheetView>
  </sheetViews>
  <sheetFormatPr defaultRowHeight="14.4" x14ac:dyDescent="0.3"/>
  <sheetData>
    <row r="1" spans="1:2" x14ac:dyDescent="0.3">
      <c r="A1" t="s">
        <v>1</v>
      </c>
      <c r="B1" t="s">
        <v>28</v>
      </c>
    </row>
    <row r="2" spans="1:2" x14ac:dyDescent="0.3">
      <c r="A2" t="s">
        <v>8</v>
      </c>
      <c r="B2">
        <v>1</v>
      </c>
    </row>
    <row r="3" spans="1:2" x14ac:dyDescent="0.3">
      <c r="A3" t="s">
        <v>11</v>
      </c>
      <c r="B3">
        <v>2</v>
      </c>
    </row>
    <row r="4" spans="1:2" x14ac:dyDescent="0.3">
      <c r="A4" t="s">
        <v>30</v>
      </c>
      <c r="B4">
        <v>1</v>
      </c>
    </row>
    <row r="5" spans="1:2" x14ac:dyDescent="0.3">
      <c r="A5" t="s">
        <v>34</v>
      </c>
      <c r="B5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3:C33"/>
  <sheetViews>
    <sheetView topLeftCell="A4" zoomScaleNormal="100" workbookViewId="0">
      <selection activeCell="N35" sqref="N35"/>
    </sheetView>
  </sheetViews>
  <sheetFormatPr defaultColWidth="8.5546875" defaultRowHeight="14.4" x14ac:dyDescent="0.3"/>
  <sheetData>
    <row r="33" spans="2:3" x14ac:dyDescent="0.3">
      <c r="B33" s="8" t="s">
        <v>36</v>
      </c>
      <c r="C33" s="8" t="s">
        <v>37</v>
      </c>
    </row>
  </sheetData>
  <pageMargins left="0.75" right="0.75" top="1" bottom="1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UpdateDashboardComboChart">
                <anchor moveWithCells="1">
                  <from>
                    <xdr:col>10</xdr:col>
                    <xdr:colOff>99060</xdr:colOff>
                    <xdr:row>32</xdr:row>
                    <xdr:rowOff>129540</xdr:rowOff>
                  </from>
                  <to>
                    <xdr:col>11</xdr:col>
                    <xdr:colOff>30480</xdr:colOff>
                    <xdr:row>33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"/>
  <sheetViews>
    <sheetView zoomScaleNormal="100" workbookViewId="0">
      <selection activeCell="N19" sqref="N19"/>
    </sheetView>
  </sheetViews>
  <sheetFormatPr defaultColWidth="8.5546875" defaultRowHeight="14.4" x14ac:dyDescent="0.3"/>
  <cols>
    <col min="1" max="1" width="14.88671875" bestFit="1" customWidth="1"/>
  </cols>
  <sheetData>
    <row r="1" spans="1:2" ht="17.399999999999999" x14ac:dyDescent="0.3">
      <c r="A1" s="2" t="s">
        <v>12</v>
      </c>
    </row>
    <row r="3" spans="1:2" x14ac:dyDescent="0.3">
      <c r="A3" t="s">
        <v>13</v>
      </c>
      <c r="B3" t="s">
        <v>14</v>
      </c>
    </row>
    <row r="4" spans="1:2" x14ac:dyDescent="0.3">
      <c r="A4" t="s">
        <v>15</v>
      </c>
      <c r="B4" t="s">
        <v>16</v>
      </c>
    </row>
    <row r="17" spans="6:7" x14ac:dyDescent="0.3">
      <c r="F17" s="8" t="s">
        <v>36</v>
      </c>
      <c r="G17" s="8" t="s">
        <v>38</v>
      </c>
    </row>
    <row r="19" spans="6:7" x14ac:dyDescent="0.3">
      <c r="G19" s="7" t="s">
        <v>39</v>
      </c>
    </row>
    <row r="20" spans="6:7" x14ac:dyDescent="0.3">
      <c r="G20" s="7"/>
    </row>
  </sheetData>
  <pageMargins left="0.75" right="0.75" top="1" bottom="1" header="0.511811023622047" footer="0.511811023622047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UpdateDashboardAndSendAlerts">
                <anchor moveWithCells="1">
                  <from>
                    <xdr:col>7</xdr:col>
                    <xdr:colOff>129540</xdr:colOff>
                    <xdr:row>10</xdr:row>
                    <xdr:rowOff>106680</xdr:rowOff>
                  </from>
                  <to>
                    <xdr:col>11</xdr:col>
                    <xdr:colOff>68580</xdr:colOff>
                    <xdr:row>15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6"/>
  <sheetViews>
    <sheetView zoomScaleNormal="100" workbookViewId="0">
      <selection activeCell="B6" sqref="B6"/>
    </sheetView>
  </sheetViews>
  <sheetFormatPr defaultColWidth="8.5546875" defaultRowHeight="14.4" x14ac:dyDescent="0.3"/>
  <cols>
    <col min="1" max="1" width="27" customWidth="1"/>
    <col min="2" max="2" width="50" customWidth="1"/>
  </cols>
  <sheetData>
    <row r="1" spans="1:2" ht="17.399999999999999" x14ac:dyDescent="0.3">
      <c r="A1" s="2" t="s">
        <v>17</v>
      </c>
    </row>
    <row r="2" spans="1:2" x14ac:dyDescent="0.3">
      <c r="A2" s="3" t="s">
        <v>18</v>
      </c>
      <c r="B2" s="3" t="s">
        <v>19</v>
      </c>
    </row>
    <row r="3" spans="1:2" x14ac:dyDescent="0.3">
      <c r="A3" t="s">
        <v>20</v>
      </c>
      <c r="B3" t="s">
        <v>21</v>
      </c>
    </row>
    <row r="4" spans="1:2" x14ac:dyDescent="0.3">
      <c r="A4" t="s">
        <v>22</v>
      </c>
      <c r="B4" t="s">
        <v>23</v>
      </c>
    </row>
    <row r="5" spans="1:2" x14ac:dyDescent="0.3">
      <c r="A5" t="s">
        <v>24</v>
      </c>
      <c r="B5" t="s">
        <v>25</v>
      </c>
    </row>
    <row r="6" spans="1:2" x14ac:dyDescent="0.3">
      <c r="A6" t="s">
        <v>26</v>
      </c>
      <c r="B6" t="s">
        <v>27</v>
      </c>
    </row>
  </sheetData>
  <pageMargins left="0.75" right="0.75" top="1" bottom="1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Summary</vt:lpstr>
      <vt:lpstr>Dashboard</vt:lpstr>
      <vt:lpstr>Settings</vt:lpstr>
      <vt:lpstr>Macro 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Nupur Singh</cp:lastModifiedBy>
  <cp:revision>2</cp:revision>
  <dcterms:created xsi:type="dcterms:W3CDTF">2025-07-12T01:03:02Z</dcterms:created>
  <dcterms:modified xsi:type="dcterms:W3CDTF">2025-09-20T17:27:48Z</dcterms:modified>
  <dc:language>en-US</dc:language>
</cp:coreProperties>
</file>